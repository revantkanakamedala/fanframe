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3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Overview" sheetId="1" r:id="rId4"/>
    <sheet state="visible" name="Backlog" sheetId="2" r:id="rId5"/>
    <sheet state="visible" name="4-Week Plan" sheetId="3" r:id="rId6"/>
    <sheet state="visible" name="RAID &amp; Changes" sheetId="4" r:id="rId7"/>
  </sheets>
  <definedNames/>
  <calcPr/>
  <extLst>
    <ext uri="GoogleSheetsCustomDataVersion2">
      <go:sheetsCustomData xmlns:go="http://customooxmlschemas.google.com/" r:id="rId8" roundtripDataChecksum="1UVN9EHAuwKeyJXfSo+dUZYxHCPuZ19YoIlNkzomrZ8="/>
    </ext>
  </extLst>
</workbook>
</file>

<file path=xl/sharedStrings.xml><?xml version="1.0" encoding="utf-8"?>
<sst xmlns="http://schemas.openxmlformats.org/spreadsheetml/2006/main" count="378" uniqueCount="262">
  <si>
    <t>FanFrame MVP Project Overview</t>
  </si>
  <si>
    <t>Project</t>
  </si>
  <si>
    <t>FanFrame MVP</t>
  </si>
  <si>
    <t>Backlog metric</t>
  </si>
  <si>
    <t>Current value</t>
  </si>
  <si>
    <t>Objective</t>
  </si>
  <si>
    <t>Help fans capture photos and videos inside a structured event recap</t>
  </si>
  <si>
    <t>Total stories</t>
  </si>
  <si>
    <t>FanFrame Risks and Change Log</t>
  </si>
  <si>
    <t>FanFrame Four-Week Delivery Plan</t>
  </si>
  <si>
    <t>RAID log</t>
  </si>
  <si>
    <t>Task</t>
  </si>
  <si>
    <t>FanFrame MVP Backlog</t>
  </si>
  <si>
    <t>Primary user</t>
  </si>
  <si>
    <t>Fans ages 18 to 35 who attend sports, concerts, and movies</t>
  </si>
  <si>
    <t>Must-have stories</t>
  </si>
  <si>
    <t>Work item</t>
  </si>
  <si>
    <t>ID</t>
  </si>
  <si>
    <t>Deliverable</t>
  </si>
  <si>
    <t>Start</t>
  </si>
  <si>
    <t>Epic</t>
  </si>
  <si>
    <t>Type</t>
  </si>
  <si>
    <t>Project owner</t>
  </si>
  <si>
    <t>Due</t>
  </si>
  <si>
    <t>Revant</t>
  </si>
  <si>
    <t>Stories completed</t>
  </si>
  <si>
    <t>User story</t>
  </si>
  <si>
    <t>Description</t>
  </si>
  <si>
    <t>Status</t>
  </si>
  <si>
    <t>Acceptance criteria</t>
  </si>
  <si>
    <t>Impact</t>
  </si>
  <si>
    <t>Priority</t>
  </si>
  <si>
    <t>Probability</t>
  </si>
  <si>
    <t>Dependency</t>
  </si>
  <si>
    <t>Response</t>
  </si>
  <si>
    <t>Planned start</t>
  </si>
  <si>
    <t>Week</t>
  </si>
  <si>
    <t>Portfolio evidence</t>
  </si>
  <si>
    <t>Trigger</t>
  </si>
  <si>
    <t>Effort</t>
  </si>
  <si>
    <t>Completion rate</t>
  </si>
  <si>
    <t>Notes</t>
  </si>
  <si>
    <t>Owner</t>
  </si>
  <si>
    <t>Review date</t>
  </si>
  <si>
    <t>Evidence</t>
  </si>
  <si>
    <t>P-01</t>
  </si>
  <si>
    <t>R-01</t>
  </si>
  <si>
    <t>FF-01</t>
  </si>
  <si>
    <t>Risk</t>
  </si>
  <si>
    <t>Confirm MVP scope and success measure</t>
  </si>
  <si>
    <t>Planned finish</t>
  </si>
  <si>
    <t>Discovery</t>
  </si>
  <si>
    <t>Total effort points</t>
  </si>
  <si>
    <t>FanFrame suggests the wrong nearby event.</t>
  </si>
  <si>
    <t>Approved scope statement</t>
  </si>
  <si>
    <t>As a fan, I want FanFrame to suggest a nearby event so I can start without entering details.</t>
  </si>
  <si>
    <t>High</t>
  </si>
  <si>
    <t>Shows event name, venue, and time. User can accept or reject the suggestion.</t>
  </si>
  <si>
    <t>Medium</t>
  </si>
  <si>
    <t>Current phase</t>
  </si>
  <si>
    <t>Planning and prototype design</t>
  </si>
  <si>
    <t>Show venue and time clearly. Provide Not your event and manual search.</t>
  </si>
  <si>
    <t>Open high risks</t>
  </si>
  <si>
    <t>User rejects the suggestion</t>
  </si>
  <si>
    <t>Must Have</t>
  </si>
  <si>
    <t>Open</t>
  </si>
  <si>
    <t>Done</t>
  </si>
  <si>
    <t>In Progress</t>
  </si>
  <si>
    <t>None</t>
  </si>
  <si>
    <t>Scope section</t>
  </si>
  <si>
    <t>R-02</t>
  </si>
  <si>
    <t>Freeze new features after approval</t>
  </si>
  <si>
    <t>Location permission feels intrusive.</t>
  </si>
  <si>
    <t>P-02</t>
  </si>
  <si>
    <t>MVP scope</t>
  </si>
  <si>
    <t>Prioritize backlog and estimate effort</t>
  </si>
  <si>
    <t>Explain why location helps. Request permission only when the feature needs it.</t>
  </si>
  <si>
    <t>User denies permission</t>
  </si>
  <si>
    <t>Ranked backlog</t>
  </si>
  <si>
    <t>Wireframe and prototype screen</t>
  </si>
  <si>
    <t>Included</t>
  </si>
  <si>
    <t>FF-02</t>
  </si>
  <si>
    <t>Nearby-event suggestion</t>
  </si>
  <si>
    <t>Event page</t>
  </si>
  <si>
    <t>Photo and video upload</t>
  </si>
  <si>
    <t>Personal recap</t>
  </si>
  <si>
    <t>Event Passport</t>
  </si>
  <si>
    <t>Manual fallback</t>
  </si>
  <si>
    <t>R-03</t>
  </si>
  <si>
    <t>As a fan, I want to reject the suggested event so I can find the correct one.</t>
  </si>
  <si>
    <t>Not Started</t>
  </si>
  <si>
    <t>Excluded</t>
  </si>
  <si>
    <t>Not your event opens search or manual entry without saving the wrong event.</t>
  </si>
  <si>
    <t>Event data integrations expand the MVP scope.</t>
  </si>
  <si>
    <t>Ticket purchasing</t>
  </si>
  <si>
    <t>Live scores</t>
  </si>
  <si>
    <t>Direct messaging</t>
  </si>
  <si>
    <t>AI video editing</t>
  </si>
  <si>
    <t>Public social feed</t>
  </si>
  <si>
    <t>Event recommendations</t>
  </si>
  <si>
    <t>Backlog worksheet</t>
  </si>
  <si>
    <t>Success measure</t>
  </si>
  <si>
    <t>A user can confirm a nearby event, add two moments, and save a recap without assistance</t>
  </si>
  <si>
    <t>Use simulated event data in the prototype. Document integration as future work.</t>
  </si>
  <si>
    <t>Review dependencies before final ranking</t>
  </si>
  <si>
    <t>Prototype work requires an external API</t>
  </si>
  <si>
    <t>Prototype test</t>
  </si>
  <si>
    <t>Complete the core task in under three minutes with no critical navigation errors</t>
  </si>
  <si>
    <t>P-03</t>
  </si>
  <si>
    <t>Define nearby-event rules</t>
  </si>
  <si>
    <t>Decision rule</t>
  </si>
  <si>
    <t>Keep features that support the core event-to-recap journey. Move everything else to a later release.</t>
  </si>
  <si>
    <t>R-04</t>
  </si>
  <si>
    <t>Detection assumptions</t>
  </si>
  <si>
    <t>Planning note</t>
  </si>
  <si>
    <t>Photo upload screens become too complicated.</t>
  </si>
  <si>
    <t>Dates and statuses are editable. The plan assumes one person completes the project part time.</t>
  </si>
  <si>
    <t>Alternate flow test</t>
  </si>
  <si>
    <t>Limit the MVP to selecting media, viewing thumbnails, and adding an optional caption.</t>
  </si>
  <si>
    <t>Milestone</t>
  </si>
  <si>
    <t>Target date</t>
  </si>
  <si>
    <t>More editing controls are requested</t>
  </si>
  <si>
    <t>FF-03</t>
  </si>
  <si>
    <t>Scope and backlog approved</t>
  </si>
  <si>
    <t>Event Page</t>
  </si>
  <si>
    <t>Decision log</t>
  </si>
  <si>
    <t>As a fan, I want a prefilled event page so I can focus on capturing memories.</t>
  </si>
  <si>
    <t>Prototype uses simulated location and event data</t>
  </si>
  <si>
    <t>Prioritized backlog</t>
  </si>
  <si>
    <t>R-05</t>
  </si>
  <si>
    <t>Page displays matchup or title, venue, start time, and event image.</t>
  </si>
  <si>
    <t>P-04</t>
  </si>
  <si>
    <t>The project owner adds social features before testing the core flow.</t>
  </si>
  <si>
    <t>Clickable prototype complete</t>
  </si>
  <si>
    <t>Build clickable core flow</t>
  </si>
  <si>
    <t>Prototype link and screenshots</t>
  </si>
  <si>
    <t>Prototype version 1</t>
  </si>
  <si>
    <t>Usability test complete</t>
  </si>
  <si>
    <t>Use the decision rule on Overview and move new ideas to Future.</t>
  </si>
  <si>
    <t>Test notes and issue list</t>
  </si>
  <si>
    <t>A feature does not support event-to-recap</t>
  </si>
  <si>
    <t>Case study complete</t>
  </si>
  <si>
    <t>Portfolio case study</t>
  </si>
  <si>
    <t>Event page prototype</t>
  </si>
  <si>
    <t>P-02,P-03</t>
  </si>
  <si>
    <t>R-06</t>
  </si>
  <si>
    <t>Prototype link</t>
  </si>
  <si>
    <t>FF-04</t>
  </si>
  <si>
    <t>Issue</t>
  </si>
  <si>
    <t>Nearby prompt through saved recap</t>
  </si>
  <si>
    <t>Moments</t>
  </si>
  <si>
    <t>No real PM team or engineering resources are available.</t>
  </si>
  <si>
    <t>As a fan, I want to upload photos from my phone so I can add them to the event.</t>
  </si>
  <si>
    <t>P-05</t>
  </si>
  <si>
    <t>User can select at least two photos and see a thumbnail for each selection.</t>
  </si>
  <si>
    <t>Build Passport and manual fallback</t>
  </si>
  <si>
    <t>Treat artifacts, decisions, test results, and revisions as the project evidence.</t>
  </si>
  <si>
    <t>Prototype version 2</t>
  </si>
  <si>
    <t>A deliverable depends on another person</t>
  </si>
  <si>
    <t>R-07</t>
  </si>
  <si>
    <t>Upload interaction prototype</t>
  </si>
  <si>
    <t>Assumption</t>
  </si>
  <si>
    <t>One person can complete the prototype and case study part time in four weeks.</t>
  </si>
  <si>
    <t>FF-05</t>
  </si>
  <si>
    <t>Keep filters limited to event type</t>
  </si>
  <si>
    <t>As a fan, I want to add a short caption so I can remember why a moment mattered.</t>
  </si>
  <si>
    <t>Caption remains optional and stays attached to the selected moment.</t>
  </si>
  <si>
    <t>Review progress each week and cut Should Have items before changing the finish date.</t>
  </si>
  <si>
    <t>P-06</t>
  </si>
  <si>
    <t>Should Have</t>
  </si>
  <si>
    <t>A weekly milestone slips by more than two days</t>
  </si>
  <si>
    <t>Write usability test script</t>
  </si>
  <si>
    <t>Five-task test script</t>
  </si>
  <si>
    <t>Caption state</t>
  </si>
  <si>
    <t>Change log</t>
  </si>
  <si>
    <t>FF-06</t>
  </si>
  <si>
    <t>Recap</t>
  </si>
  <si>
    <t>Test script</t>
  </si>
  <si>
    <t>As a fan, I want FanFrame to organize my moments into a recap so I can revisit the event.</t>
  </si>
  <si>
    <t>Use the same scenario for every participant</t>
  </si>
  <si>
    <t>Recap shows cover media, event details, uploaded moments, rating, and reaction.</t>
  </si>
  <si>
    <t>Change</t>
  </si>
  <si>
    <t>Date</t>
  </si>
  <si>
    <t>P-07</t>
  </si>
  <si>
    <t>Requested change</t>
  </si>
  <si>
    <t>Reason</t>
  </si>
  <si>
    <t>Scope effect</t>
  </si>
  <si>
    <t>Schedule effect</t>
  </si>
  <si>
    <t>Decision</t>
  </si>
  <si>
    <t>Run three usability sessions</t>
  </si>
  <si>
    <t>C-01</t>
  </si>
  <si>
    <t>Session notes</t>
  </si>
  <si>
    <t>Create FanFrame as an event-memory app</t>
  </si>
  <si>
    <t>Build a solo project that demonstrates planning and product decisions</t>
  </si>
  <si>
    <t>Established the MVP</t>
  </si>
  <si>
    <t>Created initial four-week target</t>
  </si>
  <si>
    <t>Completed recap prototype</t>
  </si>
  <si>
    <t>Approved</t>
  </si>
  <si>
    <t>FF-07</t>
  </si>
  <si>
    <t>Product brief and wireframes v0.1</t>
  </si>
  <si>
    <t>Notes and completion times</t>
  </si>
  <si>
    <t>If testers are unavailable, use structured self-tests on three scenarios</t>
  </si>
  <si>
    <t>As a fan, I want to rate the event and record my favorite moment.</t>
  </si>
  <si>
    <t>C-02</t>
  </si>
  <si>
    <t>User can select a one-to-five rating and enter a favorite moment.</t>
  </si>
  <si>
    <t>Make nearby-event detection the primary entry path</t>
  </si>
  <si>
    <t>P-08</t>
  </si>
  <si>
    <t>Reduce manual entry and prompt users during the event</t>
  </si>
  <si>
    <t>Added nearby prompt and event page. Moved manual creation to fallback.</t>
  </si>
  <si>
    <t>Added discovery rules to Week 1</t>
  </si>
  <si>
    <t>Prioritize findings and revise prototype</t>
  </si>
  <si>
    <t>Wireframes v0.4</t>
  </si>
  <si>
    <t>C-03</t>
  </si>
  <si>
    <t>Prototype version 3</t>
  </si>
  <si>
    <t>Pending</t>
  </si>
  <si>
    <t>Saved rating and text</t>
  </si>
  <si>
    <t>FF-08</t>
  </si>
  <si>
    <t>Privacy</t>
  </si>
  <si>
    <t>As a fan, I want to choose who can see my recap so I control my memories.</t>
  </si>
  <si>
    <t>Issue log and before-after screens</t>
  </si>
  <si>
    <t>Private is the default. Friends and Public remain visible choices.</t>
  </si>
  <si>
    <t>Fix critical navigation issues first</t>
  </si>
  <si>
    <t>P-09</t>
  </si>
  <si>
    <t>Complete project retrospective</t>
  </si>
  <si>
    <t>Lessons learned</t>
  </si>
  <si>
    <t>Privacy selection</t>
  </si>
  <si>
    <t>FF-09</t>
  </si>
  <si>
    <t>Passport</t>
  </si>
  <si>
    <t>As a fan, I want an Event Passport so I can browse my past experiences.</t>
  </si>
  <si>
    <t>Retrospective</t>
  </si>
  <si>
    <t>Saved recaps appear as cards with event name, date, venue, and rating.</t>
  </si>
  <si>
    <t>Document decisions and tradeoffs</t>
  </si>
  <si>
    <t>P-10</t>
  </si>
  <si>
    <t>Publish portfolio case study</t>
  </si>
  <si>
    <t>Final case study</t>
  </si>
  <si>
    <t>Passport prototype</t>
  </si>
  <si>
    <t>PDF or portfolio page</t>
  </si>
  <si>
    <t>FF-10</t>
  </si>
  <si>
    <t>Include measurable test results</t>
  </si>
  <si>
    <t>As a fan, I want to filter my passport by event type.</t>
  </si>
  <si>
    <t>All, Sports, Concerts, and Movies filters return the matching cards.</t>
  </si>
  <si>
    <t>Filter states</t>
  </si>
  <si>
    <t>FF-11</t>
  </si>
  <si>
    <t>Manual Entry</t>
  </si>
  <si>
    <t>As a fan, I want to create an event manually when FanFrame cannot find it.</t>
  </si>
  <si>
    <t>User can enter event type, name, date, venue, and city, then continue to moments.</t>
  </si>
  <si>
    <t>Manual entry prototype</t>
  </si>
  <si>
    <t>FF-12</t>
  </si>
  <si>
    <t>Testing</t>
  </si>
  <si>
    <t>As the project owner, I want to test the core task so I can find usability problems.</t>
  </si>
  <si>
    <t>Test script covers confirming an event, adding two moments, and saving a recap.</t>
  </si>
  <si>
    <t>FF-01:FF-11</t>
  </si>
  <si>
    <t>Test script and notes</t>
  </si>
  <si>
    <t>FF-13</t>
  </si>
  <si>
    <t>Refinement</t>
  </si>
  <si>
    <t>As the project owner, I want to prioritize test findings so I can revise the prototype.</t>
  </si>
  <si>
    <t>Each finding receives severity, proposed change, owner, and disposition.</t>
  </si>
  <si>
    <t>Issue log and revised screens</t>
  </si>
  <si>
    <t>FF-14</t>
  </si>
  <si>
    <t>Portfolio</t>
  </si>
  <si>
    <t>As the project owner, I want a case study so I can demonstrate project decisions and outcomes.</t>
  </si>
  <si>
    <t>Case study includes problem, scope, plan, risks, changes, prototype, testing, and lessons learned.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</si>
</sst>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2">
    <numFmt numFmtId="164" formatCode="mmm d, yyyy"/>
    <numFmt numFmtId="165" formatCode="mmm d"/>
  </numFmts>
  <fonts count="7">
    <font>
      <sz val="11.0"/>
      <color rgb="FF000000"/>
      <name val="Carlito"/>
      <scheme val="minor"/>
    </font>
    <font>
      <sz val="10.0"/>
      <color rgb="FF1F2933"/>
      <name val="Arial"/>
    </font>
    <font>
      <b/>
      <sz val="16.0"/>
      <color rgb="FF1F2933"/>
      <name val="Arial"/>
    </font>
    <font>
      <b/>
      <sz val="10.0"/>
      <color rgb="FF203040"/>
      <name val="Arial"/>
    </font>
    <font>
      <b/>
      <sz val="10.0"/>
      <color rgb="FFFFFFFF"/>
      <name val="Arial"/>
    </font>
    <font>
      <b/>
      <sz val="11.0"/>
      <color rgb="FF203040"/>
      <name val="Arial"/>
    </font>
    <font/>
  </fonts>
  <fills count="4">
    <fill>
      <patternFill patternType="none"/>
    </fill>
    <fill>
      <patternFill patternType="lightGray"/>
    </fill>
    <fill>
      <patternFill patternType="solid">
        <fgColor rgb="FF203040"/>
        <bgColor rgb="FF203040"/>
      </patternFill>
    </fill>
    <fill>
      <patternFill patternType="solid">
        <fgColor rgb="FFE9F0F5"/>
        <bgColor rgb="FFE9F0F5"/>
      </patternFill>
    </fill>
  </fills>
  <borders count="9">
    <border/>
    <border>
      <bottom style="thin">
        <color rgb="FFD7DCE1"/>
      </bottom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</border>
    <border>
      <top style="thin">
        <color rgb="FFD7DCE1"/>
      </top>
      <bottom style="thin">
        <color rgb="FFD7DCE1"/>
      </bottom>
    </border>
    <border>
      <left style="thin">
        <color rgb="FFD7DCE1"/>
      </left>
      <top style="thin">
        <color rgb="FFD7DCE1"/>
      </top>
      <bottom style="thin">
        <color rgb="FFD7DCE1"/>
      </bottom>
    </border>
    <border>
      <right style="thin">
        <color rgb="FFD7DCE1"/>
      </right>
      <top style="thin">
        <color rgb="FFD7DCE1"/>
      </top>
      <bottom style="thin">
        <color rgb="FFD7DCE1"/>
      </bottom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D7DCE1"/>
      </bottom>
    </border>
    <border>
      <left style="thin">
        <color rgb="FFFFFFFF"/>
      </left>
      <top style="thin">
        <color rgb="FFD7DCE1"/>
      </top>
      <bottom style="thin">
        <color rgb="FFD7DCE1"/>
      </bottom>
    </border>
    <border>
      <right style="thin">
        <color rgb="FFFFFFFF"/>
      </right>
      <top style="thin">
        <color rgb="FFD7DCE1"/>
      </top>
      <bottom style="thin">
        <color rgb="FFD7DCE1"/>
      </bottom>
    </border>
  </borders>
  <cellStyleXfs count="1">
    <xf borderId="0" fillId="0" fontId="0" numFmtId="0" applyAlignment="1" applyFont="1"/>
  </cellStyleXfs>
  <cellXfs count="30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vertical="center"/>
    </xf>
    <xf borderId="0" fillId="0" fontId="2" numFmtId="0" xfId="0" applyAlignment="1" applyFont="1">
      <alignment vertical="center"/>
    </xf>
    <xf borderId="1" fillId="0" fontId="1" numFmtId="0" xfId="0" applyAlignment="1" applyBorder="1" applyFont="1">
      <alignment vertical="center"/>
    </xf>
    <xf borderId="1" fillId="0" fontId="3" numFmtId="0" xfId="0" applyAlignment="1" applyBorder="1" applyFont="1">
      <alignment vertical="center"/>
    </xf>
    <xf borderId="1" fillId="0" fontId="1" numFmtId="0" xfId="0" applyAlignment="1" applyBorder="1" applyFont="1">
      <alignment shrinkToFit="0" vertical="center" wrapText="1"/>
    </xf>
    <xf borderId="2" fillId="2" fontId="4" numFmtId="0" xfId="0" applyAlignment="1" applyBorder="1" applyFill="1" applyFont="1">
      <alignment horizontal="center" shrinkToFit="0" vertical="center" wrapText="1"/>
    </xf>
    <xf borderId="3" fillId="0" fontId="3" numFmtId="0" xfId="0" applyAlignment="1" applyBorder="1" applyFont="1">
      <alignment vertical="center"/>
    </xf>
    <xf borderId="3" fillId="0" fontId="1" numFmtId="0" xfId="0" applyAlignment="1" applyBorder="1" applyFont="1">
      <alignment shrinkToFit="0" vertical="center" wrapText="1"/>
    </xf>
    <xf borderId="4" fillId="3" fontId="3" numFmtId="0" xfId="0" applyAlignment="1" applyBorder="1" applyFill="1" applyFont="1">
      <alignment vertical="center"/>
    </xf>
    <xf borderId="1" fillId="0" fontId="5" numFmtId="0" xfId="0" applyAlignment="1" applyBorder="1" applyFont="1">
      <alignment vertical="center"/>
    </xf>
    <xf borderId="3" fillId="0" fontId="6" numFmtId="0" xfId="0" applyBorder="1" applyFont="1"/>
    <xf borderId="2" fillId="2" fontId="4" numFmtId="0" xfId="0" applyAlignment="1" applyBorder="1" applyFill="1" applyFont="1">
      <alignment horizontal="center" readingOrder="0" shrinkToFit="0" vertical="center" wrapText="1"/>
    </xf>
    <xf borderId="3" fillId="0" fontId="1" numFmtId="0" xfId="0" applyAlignment="1" applyBorder="1" applyFont="1">
      <alignment vertical="center"/>
    </xf>
    <xf borderId="5" fillId="0" fontId="6" numFmtId="0" xfId="0" applyBorder="1" applyFont="1"/>
    <xf borderId="3" fillId="0" fontId="5" numFmtId="0" xfId="0" applyAlignment="1" applyBorder="1" applyFont="1">
      <alignment vertical="center"/>
    </xf>
    <xf borderId="3" fillId="0" fontId="1" numFmtId="164" xfId="0" applyAlignment="1" applyBorder="1" applyFont="1" applyNumberFormat="1">
      <alignment shrinkToFit="0" vertical="center" wrapText="1"/>
    </xf>
    <xf borderId="3" fillId="0" fontId="5" numFmtId="9" xfId="0" applyAlignment="1" applyBorder="1" applyFont="1" applyNumberFormat="1">
      <alignment vertical="center"/>
    </xf>
    <xf borderId="0" fillId="0" fontId="1" numFmtId="0" xfId="0" applyAlignment="1" applyFont="1">
      <alignment shrinkToFit="0" vertical="center" wrapText="1"/>
    </xf>
    <xf borderId="0" fillId="0" fontId="1" numFmtId="165" xfId="0" applyAlignment="1" applyFont="1" applyNumberFormat="1">
      <alignment shrinkToFit="0" vertical="center" wrapText="1"/>
    </xf>
    <xf borderId="0" fillId="0" fontId="1" numFmtId="0" xfId="0" applyAlignment="1" applyFont="1">
      <alignment readingOrder="0" shrinkToFit="0" vertical="center" wrapText="1"/>
    </xf>
    <xf borderId="0" fillId="0" fontId="1" numFmtId="164" xfId="0" applyAlignment="1" applyFont="1" applyNumberFormat="1">
      <alignment shrinkToFit="0" vertical="center" wrapText="1"/>
    </xf>
    <xf borderId="1" fillId="0" fontId="3" numFmtId="0" xfId="0" applyAlignment="1" applyBorder="1" applyFont="1">
      <alignment shrinkToFit="0" vertical="center" wrapText="1"/>
    </xf>
    <xf borderId="3" fillId="0" fontId="3" numFmtId="0" xfId="0" applyAlignment="1" applyBorder="1" applyFont="1">
      <alignment shrinkToFit="0" vertical="center" wrapText="1"/>
    </xf>
    <xf borderId="1" fillId="0" fontId="1" numFmtId="164" xfId="0" applyAlignment="1" applyBorder="1" applyFont="1" applyNumberFormat="1">
      <alignment vertical="center"/>
    </xf>
    <xf borderId="1" fillId="0" fontId="1" numFmtId="0" xfId="0" applyAlignment="1" applyBorder="1" applyFont="1">
      <alignment readingOrder="0" vertical="center"/>
    </xf>
    <xf borderId="3" fillId="0" fontId="1" numFmtId="164" xfId="0" applyAlignment="1" applyBorder="1" applyFont="1" applyNumberFormat="1">
      <alignment vertical="center"/>
    </xf>
    <xf borderId="6" fillId="2" fontId="4" numFmtId="0" xfId="0" applyAlignment="1" applyBorder="1" applyFill="1" applyFont="1">
      <alignment horizontal="center" shrinkToFit="0" vertical="center" wrapText="1"/>
    </xf>
    <xf borderId="7" fillId="0" fontId="1" numFmtId="0" xfId="0" applyAlignment="1" applyBorder="1" applyFont="1">
      <alignment shrinkToFit="0" vertical="center" wrapText="1"/>
    </xf>
    <xf borderId="8" fillId="0" fontId="1" numFmtId="0" xfId="0" applyAlignment="1" applyBorder="1" applyFont="1">
      <alignment shrinkToFit="0" vertical="center" wrapText="1"/>
    </xf>
  </cellXfs>
  <cellStyles count="1">
    <cellStyle xfId="0" name="Normal" builtinId="0"/>
  </cellStyles>
  <dxfs count="8">
    <dxf>
      <font/>
      <fill>
        <patternFill patternType="none"/>
      </fill>
      <border/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C1E4F5"/>
          <bgColor rgb="FFC1E4F5"/>
        </patternFill>
      </fill>
      <border/>
    </dxf>
    <dxf>
      <font/>
      <fill>
        <patternFill patternType="solid">
          <fgColor theme="0"/>
          <bgColor theme="0"/>
        </patternFill>
      </fill>
      <border/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rgb="FFD4D4D4"/>
        </vertical>
        <horizontal style="thin">
          <color rgb="FFD4D4D4"/>
        </horizontal>
      </border>
    </dxf>
    <dxf>
      <font>
        <b/>
        <color rgb="FF1B5E20"/>
      </font>
      <fill>
        <patternFill patternType="solid">
          <fgColor rgb="FFDDEFE3"/>
          <bgColor rgb="FFDDEFE3"/>
        </patternFill>
      </fill>
      <border/>
    </dxf>
    <dxf>
      <font>
        <b/>
        <color rgb="FF7A4F00"/>
      </font>
      <fill>
        <patternFill patternType="solid">
          <fgColor rgb="FFFFF0C7"/>
          <bgColor rgb="FFFFF0C7"/>
        </patternFill>
      </fill>
      <border/>
    </dxf>
    <dxf>
      <font>
        <b/>
        <color rgb="FF7A1E22"/>
      </font>
      <fill>
        <patternFill patternType="solid">
          <fgColor rgb="FFF8D7DA"/>
          <bgColor rgb="FFF8D7DA"/>
        </patternFill>
      </fill>
      <border/>
    </dxf>
  </dxfs>
  <tableStyles count="3">
    <tableStyle count="4" pivot="0" name="RAID &amp; Changes-style">
      <tableStyleElement dxfId="1" type="headerRow"/>
      <tableStyleElement dxfId="2" type="firstRowStripe"/>
      <tableStyleElement dxfId="3" type="secondRowStripe"/>
      <tableStyleElement dxfId="4" size="0" type="wholeTable"/>
    </tableStyle>
    <tableStyle count="4" pivot="0" name="4-Week Plan-style">
      <tableStyleElement dxfId="1" type="headerRow"/>
      <tableStyleElement dxfId="2" type="firstRowStripe"/>
      <tableStyleElement dxfId="3" type="secondRowStripe"/>
      <tableStyleElement dxfId="4" size="0" type="wholeTable"/>
    </tableStyle>
    <tableStyle count="4" pivot="0" name="Backlog-style">
      <tableStyleElement dxfId="1" type="headerRow"/>
      <tableStyleElement dxfId="2" type="firstRowStripe"/>
      <tableStyleElement dxfId="3" type="secondRowStripe"/>
      <tableStyleElement dxfId="4" size="0" type="wholeTabl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4:K18" displayName="FanFrameBacklog" name="FanFrameBacklog" id="3">
  <tableColumns count="11">
    <tableColumn name="ID" id="1"/>
    <tableColumn name="Epic" id="2"/>
    <tableColumn name="User story" id="3"/>
    <tableColumn name="Acceptance criteria" id="4"/>
    <tableColumn name="Priority" id="5"/>
    <tableColumn name="Status" id="6"/>
    <tableColumn name="Week" id="7"/>
    <tableColumn name="Effort" id="8"/>
    <tableColumn name="Dependency" id="9"/>
    <tableColumn name="Owner" id="10"/>
    <tableColumn name="Evidence" id="11"/>
  </tableColumns>
  <tableStyleInfo name="Backlog-style" showColumnStripes="0" showFirstColumn="1" showLastColumn="1" showRowStripes="1"/>
</table>
</file>

<file path=xl/tables/table2.xml><?xml version="1.0" encoding="utf-8"?>
<table xmlns="http://schemas.openxmlformats.org/spreadsheetml/2006/main" ref="A4:I14" displayName="FanFramePlan" name="FanFramePlan" id="2">
  <tableColumns count="9">
    <tableColumn name="Task" id="1"/>
    <tableColumn name="Work item" id="2"/>
    <tableColumn name="Deliverable" id="3"/>
    <tableColumn name="Start" id="4"/>
    <tableColumn name="Due" id="5"/>
    <tableColumn name="Status" id="6"/>
    <tableColumn name="Dependency" id="7"/>
    <tableColumn name="Portfolio evidence" id="8"/>
    <tableColumn name="Notes" id="9"/>
  </tableColumns>
  <tableStyleInfo name="4-Week Plan-style" showColumnStripes="0" showFirstColumn="1" showLastColumn="1" showRowStripes="1"/>
</table>
</file>

<file path=xl/tables/table3.xml><?xml version="1.0" encoding="utf-8"?>
<table xmlns="http://schemas.openxmlformats.org/spreadsheetml/2006/main" ref="A5:J12" displayName="FanFrameRAID" name="FanFrameRAID" id="1">
  <tableColumns count="10">
    <tableColumn name="ID" id="1"/>
    <tableColumn name="Type" id="2"/>
    <tableColumn name="Description" id="3"/>
    <tableColumn name="Impact" id="4"/>
    <tableColumn name="Probability" id="5"/>
    <tableColumn name="Response" id="6"/>
    <tableColumn name="Trigger" id="7"/>
    <tableColumn name="Status" id="8"/>
    <tableColumn name="Owner" id="9"/>
    <tableColumn name="Review date" id="10"/>
  </tableColumns>
  <tableStyleInfo name="RAID &amp; Changes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Relationship Id="rId3" Type="http://schemas.openxmlformats.org/officeDocument/2006/relationships/table" Target="../tables/table1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Relationship Id="rId3" Type="http://schemas.openxmlformats.org/officeDocument/2006/relationships/table" Target="../tables/table2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Relationship Id="rId3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203040"/>
    <pageSetUpPr/>
  </sheetPr>
  <sheetViews>
    <sheetView showGridLines="0" workbookViewId="0"/>
  </sheetViews>
  <sheetFormatPr customHeight="1" defaultColWidth="12.63" defaultRowHeight="15.0"/>
  <cols>
    <col customWidth="1" min="1" max="1" width="22.0"/>
    <col customWidth="1" min="2" max="2" width="38.0"/>
    <col customWidth="1" min="3" max="4" width="24.0"/>
    <col customWidth="1" min="5" max="5" width="18.0"/>
    <col customWidth="1" min="6" max="8" width="20.0"/>
    <col customWidth="1" min="9" max="26" width="8.63"/>
  </cols>
  <sheetData>
    <row r="1">
      <c r="A1" s="1"/>
      <c r="B1" s="1"/>
      <c r="C1" s="1"/>
      <c r="D1" s="1"/>
      <c r="E1" s="1"/>
      <c r="F1" s="1"/>
      <c r="G1" s="1"/>
      <c r="H1" s="1"/>
    </row>
    <row r="2" ht="25.5" customHeight="1">
      <c r="A2" s="2" t="s">
        <v>0</v>
      </c>
      <c r="B2" s="2"/>
      <c r="C2" s="2"/>
      <c r="D2" s="2"/>
      <c r="E2" s="2"/>
      <c r="F2" s="2"/>
      <c r="G2" s="2"/>
      <c r="H2" s="2"/>
    </row>
    <row r="3" ht="7.5" customHeight="1">
      <c r="A3" s="3"/>
      <c r="B3" s="3"/>
      <c r="C3" s="3"/>
      <c r="D3" s="3"/>
      <c r="E3" s="3"/>
      <c r="F3" s="3"/>
      <c r="G3" s="3"/>
      <c r="H3" s="3"/>
    </row>
    <row r="4">
      <c r="A4" s="1"/>
      <c r="B4" s="1"/>
      <c r="C4" s="1"/>
      <c r="D4" s="1"/>
      <c r="E4" s="1"/>
      <c r="F4" s="1"/>
      <c r="G4" s="1"/>
      <c r="H4" s="1"/>
    </row>
    <row r="5">
      <c r="A5" s="4" t="s">
        <v>1</v>
      </c>
      <c r="B5" s="5" t="s">
        <v>2</v>
      </c>
      <c r="C5" s="1"/>
      <c r="D5" s="6" t="s">
        <v>3</v>
      </c>
      <c r="E5" s="6" t="s">
        <v>4</v>
      </c>
      <c r="F5" s="1"/>
      <c r="G5" s="1"/>
      <c r="H5" s="1"/>
    </row>
    <row r="6">
      <c r="A6" s="7" t="s">
        <v>5</v>
      </c>
      <c r="B6" s="8" t="s">
        <v>6</v>
      </c>
      <c r="C6" s="1"/>
      <c r="D6" s="3" t="s">
        <v>7</v>
      </c>
      <c r="E6" s="10">
        <f>COUNTA(Backlog!A5:A18)</f>
        <v>14</v>
      </c>
      <c r="F6" s="1"/>
      <c r="G6" s="1"/>
      <c r="H6" s="1"/>
    </row>
    <row r="7">
      <c r="A7" s="7" t="s">
        <v>13</v>
      </c>
      <c r="B7" s="8" t="s">
        <v>14</v>
      </c>
      <c r="C7" s="1"/>
      <c r="D7" s="13" t="s">
        <v>15</v>
      </c>
      <c r="E7" s="15">
        <f>COUNTIF(Backlog!E5:E18,"Must Have")</f>
        <v>11</v>
      </c>
      <c r="F7" s="1"/>
      <c r="G7" s="1"/>
      <c r="H7" s="1"/>
    </row>
    <row r="8">
      <c r="A8" s="7" t="s">
        <v>22</v>
      </c>
      <c r="B8" s="8" t="s">
        <v>24</v>
      </c>
      <c r="C8" s="1"/>
      <c r="D8" s="13" t="s">
        <v>25</v>
      </c>
      <c r="E8" s="15">
        <f>COUNTIF(Backlog!F5:F18,"Done")</f>
        <v>0</v>
      </c>
      <c r="F8" s="1"/>
      <c r="G8" s="1"/>
      <c r="H8" s="1"/>
    </row>
    <row r="9">
      <c r="A9" s="7" t="s">
        <v>35</v>
      </c>
      <c r="B9" s="16">
        <v>46280.5</v>
      </c>
      <c r="C9" s="1"/>
      <c r="D9" s="13" t="s">
        <v>40</v>
      </c>
      <c r="E9" s="17">
        <f>IFERROR(E8/E6,0)</f>
        <v>0</v>
      </c>
      <c r="F9" s="1"/>
      <c r="G9" s="1"/>
      <c r="H9" s="1"/>
    </row>
    <row r="10">
      <c r="A10" s="7" t="s">
        <v>50</v>
      </c>
      <c r="B10" s="16">
        <v>46307.5</v>
      </c>
      <c r="C10" s="1"/>
      <c r="D10" s="13" t="s">
        <v>52</v>
      </c>
      <c r="E10" s="15">
        <f>SUM(Backlog!H5:H18)</f>
        <v>59</v>
      </c>
      <c r="F10" s="1"/>
      <c r="G10" s="1"/>
      <c r="H10" s="1"/>
    </row>
    <row r="11">
      <c r="A11" s="7" t="s">
        <v>59</v>
      </c>
      <c r="B11" s="8" t="s">
        <v>60</v>
      </c>
      <c r="C11" s="1"/>
      <c r="D11" s="13" t="s">
        <v>62</v>
      </c>
      <c r="E11" s="15">
        <f>COUNTIFS('RAID &amp; Changes'!B6:B12,"Risk",'RAID &amp; Changes'!D6:D12,"High",'RAID &amp; Changes'!H6:H12,"Open")</f>
        <v>4</v>
      </c>
      <c r="F11" s="1"/>
      <c r="G11" s="1"/>
      <c r="H11" s="1"/>
    </row>
    <row r="12">
      <c r="A12" s="1"/>
      <c r="B12" s="1"/>
      <c r="C12" s="1"/>
      <c r="D12" s="1"/>
      <c r="E12" s="1"/>
      <c r="F12" s="1"/>
      <c r="G12" s="1"/>
      <c r="H12" s="1"/>
    </row>
    <row r="13">
      <c r="A13" s="1"/>
      <c r="B13" s="1"/>
      <c r="C13" s="1"/>
      <c r="D13" s="1"/>
      <c r="E13" s="1"/>
      <c r="F13" s="1"/>
      <c r="G13" s="1"/>
      <c r="H13" s="1"/>
    </row>
    <row r="14">
      <c r="A14" s="9" t="s">
        <v>74</v>
      </c>
      <c r="B14" s="11"/>
      <c r="C14" s="11"/>
      <c r="D14" s="11"/>
      <c r="E14" s="11"/>
      <c r="F14" s="11"/>
      <c r="G14" s="11"/>
      <c r="H14" s="14"/>
    </row>
    <row r="15" ht="37.5" customHeight="1">
      <c r="A15" s="22" t="s">
        <v>80</v>
      </c>
      <c r="B15" s="5" t="s">
        <v>82</v>
      </c>
      <c r="C15" s="5" t="s">
        <v>83</v>
      </c>
      <c r="D15" s="5" t="s">
        <v>84</v>
      </c>
      <c r="E15" s="5" t="s">
        <v>85</v>
      </c>
      <c r="F15" s="5" t="s">
        <v>86</v>
      </c>
      <c r="G15" s="5" t="s">
        <v>87</v>
      </c>
      <c r="H15" s="5"/>
    </row>
    <row r="16" ht="37.5" customHeight="1">
      <c r="A16" s="23" t="s">
        <v>91</v>
      </c>
      <c r="B16" s="8" t="s">
        <v>94</v>
      </c>
      <c r="C16" s="8" t="s">
        <v>95</v>
      </c>
      <c r="D16" s="8" t="s">
        <v>96</v>
      </c>
      <c r="E16" s="8" t="s">
        <v>97</v>
      </c>
      <c r="F16" s="8" t="s">
        <v>98</v>
      </c>
      <c r="G16" s="8" t="s">
        <v>99</v>
      </c>
      <c r="H16" s="8"/>
    </row>
    <row r="17" ht="33.75" customHeight="1">
      <c r="A17" s="23" t="s">
        <v>101</v>
      </c>
      <c r="B17" s="8" t="s">
        <v>102</v>
      </c>
      <c r="C17" s="11"/>
      <c r="D17" s="11"/>
      <c r="E17" s="11"/>
      <c r="F17" s="11"/>
      <c r="G17" s="11"/>
      <c r="H17" s="11"/>
    </row>
    <row r="18" ht="33.75" customHeight="1">
      <c r="A18" s="23" t="s">
        <v>106</v>
      </c>
      <c r="B18" s="8" t="s">
        <v>107</v>
      </c>
      <c r="C18" s="11"/>
      <c r="D18" s="11"/>
      <c r="E18" s="11"/>
      <c r="F18" s="11"/>
      <c r="G18" s="11"/>
      <c r="H18" s="11"/>
    </row>
    <row r="19" ht="33.75" customHeight="1">
      <c r="A19" s="23" t="s">
        <v>110</v>
      </c>
      <c r="B19" s="8" t="s">
        <v>111</v>
      </c>
      <c r="C19" s="11"/>
      <c r="D19" s="11"/>
      <c r="E19" s="11"/>
      <c r="F19" s="11"/>
      <c r="G19" s="11"/>
      <c r="H19" s="11"/>
    </row>
    <row r="20" ht="33.75" customHeight="1">
      <c r="A20" s="23" t="s">
        <v>114</v>
      </c>
      <c r="B20" s="8" t="s">
        <v>116</v>
      </c>
      <c r="C20" s="11"/>
      <c r="D20" s="11"/>
      <c r="E20" s="11"/>
      <c r="F20" s="11"/>
      <c r="G20" s="11"/>
      <c r="H20" s="11"/>
    </row>
    <row r="21" ht="15.75" customHeight="1">
      <c r="A21" s="1"/>
      <c r="B21" s="1"/>
      <c r="C21" s="1"/>
      <c r="D21" s="1"/>
      <c r="E21" s="1"/>
      <c r="F21" s="1"/>
      <c r="G21" s="1"/>
      <c r="H21" s="1"/>
    </row>
    <row r="22" ht="15.75" customHeight="1">
      <c r="A22" s="6" t="s">
        <v>119</v>
      </c>
      <c r="B22" s="6" t="s">
        <v>120</v>
      </c>
      <c r="C22" s="6" t="s">
        <v>44</v>
      </c>
      <c r="D22" s="6" t="s">
        <v>28</v>
      </c>
      <c r="E22" s="1"/>
      <c r="F22" s="1"/>
      <c r="G22" s="1"/>
      <c r="H22" s="1"/>
    </row>
    <row r="23" ht="15.75" customHeight="1">
      <c r="A23" s="3" t="s">
        <v>123</v>
      </c>
      <c r="B23" s="24">
        <v>46283.5</v>
      </c>
      <c r="C23" s="3" t="s">
        <v>128</v>
      </c>
      <c r="D23" s="25" t="s">
        <v>66</v>
      </c>
      <c r="E23" s="1"/>
      <c r="F23" s="1"/>
      <c r="G23" s="1"/>
      <c r="H23" s="1"/>
    </row>
    <row r="24" ht="15.75" customHeight="1">
      <c r="A24" s="13" t="s">
        <v>133</v>
      </c>
      <c r="B24" s="26">
        <v>46293.5</v>
      </c>
      <c r="C24" s="13" t="s">
        <v>135</v>
      </c>
      <c r="D24" s="13" t="s">
        <v>90</v>
      </c>
      <c r="E24" s="1"/>
      <c r="F24" s="1"/>
      <c r="G24" s="1"/>
      <c r="H24" s="1"/>
    </row>
    <row r="25" ht="15.75" customHeight="1">
      <c r="A25" s="13" t="s">
        <v>137</v>
      </c>
      <c r="B25" s="26">
        <v>46300.5</v>
      </c>
      <c r="C25" s="13" t="s">
        <v>139</v>
      </c>
      <c r="D25" s="13" t="s">
        <v>90</v>
      </c>
      <c r="E25" s="1"/>
      <c r="F25" s="1"/>
      <c r="G25" s="1"/>
      <c r="H25" s="1"/>
    </row>
    <row r="26" ht="15.75" customHeight="1">
      <c r="A26" s="13" t="s">
        <v>141</v>
      </c>
      <c r="B26" s="26">
        <v>46307.5</v>
      </c>
      <c r="C26" s="13" t="s">
        <v>142</v>
      </c>
      <c r="D26" s="13" t="s">
        <v>90</v>
      </c>
      <c r="E26" s="1"/>
      <c r="F26" s="1"/>
      <c r="G26" s="1"/>
      <c r="H26" s="1"/>
    </row>
    <row r="27" ht="15.75" customHeight="1">
      <c r="A27" s="1"/>
      <c r="B27" s="1"/>
      <c r="C27" s="1"/>
      <c r="D27" s="1"/>
      <c r="E27" s="1"/>
      <c r="F27" s="1"/>
      <c r="G27" s="1"/>
      <c r="H27" s="1"/>
    </row>
    <row r="28" ht="15.75" customHeight="1">
      <c r="A28" s="1"/>
      <c r="B28" s="1"/>
      <c r="C28" s="1"/>
      <c r="D28" s="1"/>
      <c r="E28" s="1"/>
      <c r="F28" s="1"/>
      <c r="G28" s="1"/>
      <c r="H28" s="1"/>
    </row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5">
    <mergeCell ref="A14:H14"/>
    <mergeCell ref="B17:H17"/>
    <mergeCell ref="B18:H18"/>
    <mergeCell ref="B19:H19"/>
    <mergeCell ref="B20:H20"/>
  </mergeCells>
  <conditionalFormatting sqref="D23:D26">
    <cfRule type="containsText" dxfId="5" priority="1" operator="containsText" text="Done">
      <formula>NOT(ISERROR(SEARCH(("Done"),(D23))))</formula>
    </cfRule>
  </conditionalFormatting>
  <conditionalFormatting sqref="D23:D26">
    <cfRule type="containsText" dxfId="6" priority="2" operator="containsText" text="In Progress">
      <formula>NOT(ISERROR(SEARCH(("In Progress"),(D23))))</formula>
    </cfRule>
  </conditionalFormatting>
  <dataValidations>
    <dataValidation type="list" allowBlank="1" sqref="D23:D26">
      <formula1>"Not Started,In Progress,Done,Blocked"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3E6B89"/>
    <pageSetUpPr/>
  </sheetPr>
  <sheetViews>
    <sheetView showGridLines="0" workbookViewId="0">
      <pane ySplit="4.0" topLeftCell="A5" activePane="bottomLeft" state="frozen"/>
      <selection activeCell="B6" sqref="B6" pane="bottomLeft"/>
    </sheetView>
  </sheetViews>
  <sheetFormatPr customHeight="1" defaultColWidth="12.63" defaultRowHeight="15.0"/>
  <cols>
    <col customWidth="1" min="1" max="1" width="10.0"/>
    <col customWidth="1" min="2" max="2" width="16.0"/>
    <col customWidth="1" min="3" max="3" width="45.0"/>
    <col customWidth="1" min="4" max="4" width="46.0"/>
    <col customWidth="1" min="5" max="5" width="15.0"/>
    <col customWidth="1" min="6" max="6" width="16.0"/>
    <col customWidth="1" min="7" max="8" width="9.0"/>
    <col customWidth="1" min="9" max="9" width="16.0"/>
    <col customWidth="1" min="10" max="10" width="13.0"/>
    <col customWidth="1" min="11" max="11" width="28.0"/>
    <col customWidth="1" min="12" max="26" width="8.63"/>
  </cols>
  <sheetData>
    <row r="1">
      <c r="A1" s="1"/>
      <c r="B1" s="1"/>
      <c r="C1" s="1"/>
      <c r="D1" s="1"/>
      <c r="E1" s="1"/>
      <c r="F1" s="1"/>
      <c r="G1" s="1"/>
      <c r="H1" s="1"/>
      <c r="I1" s="1"/>
      <c r="J1" s="1"/>
      <c r="K1" s="1"/>
    </row>
    <row r="2" ht="25.5" customHeight="1">
      <c r="A2" s="2" t="s">
        <v>12</v>
      </c>
      <c r="B2" s="2"/>
      <c r="C2" s="2"/>
      <c r="D2" s="2"/>
      <c r="E2" s="2"/>
      <c r="F2" s="2"/>
      <c r="G2" s="2"/>
      <c r="H2" s="2"/>
      <c r="I2" s="2"/>
      <c r="J2" s="2"/>
      <c r="K2" s="2"/>
    </row>
    <row r="3" ht="7.5" customHeight="1">
      <c r="A3" s="3"/>
      <c r="B3" s="3"/>
      <c r="C3" s="3"/>
      <c r="D3" s="3"/>
      <c r="E3" s="3"/>
      <c r="F3" s="3"/>
      <c r="G3" s="3"/>
      <c r="H3" s="3"/>
      <c r="I3" s="3"/>
      <c r="J3" s="3"/>
      <c r="K3" s="3"/>
    </row>
    <row r="4" ht="31.5" customHeight="1">
      <c r="A4" s="12" t="s">
        <v>17</v>
      </c>
      <c r="B4" s="12" t="s">
        <v>20</v>
      </c>
      <c r="C4" s="12" t="s">
        <v>26</v>
      </c>
      <c r="D4" s="12" t="s">
        <v>29</v>
      </c>
      <c r="E4" s="12" t="s">
        <v>31</v>
      </c>
      <c r="F4" s="12" t="s">
        <v>28</v>
      </c>
      <c r="G4" s="12" t="s">
        <v>36</v>
      </c>
      <c r="H4" s="12" t="s">
        <v>39</v>
      </c>
      <c r="I4" s="12" t="s">
        <v>33</v>
      </c>
      <c r="J4" s="12" t="s">
        <v>42</v>
      </c>
      <c r="K4" s="12" t="s">
        <v>44</v>
      </c>
    </row>
    <row r="5" ht="54.0" customHeight="1">
      <c r="A5" s="18" t="s">
        <v>47</v>
      </c>
      <c r="B5" s="18" t="s">
        <v>51</v>
      </c>
      <c r="C5" s="18" t="s">
        <v>55</v>
      </c>
      <c r="D5" s="18" t="s">
        <v>57</v>
      </c>
      <c r="E5" s="18" t="s">
        <v>64</v>
      </c>
      <c r="F5" s="18" t="s">
        <v>67</v>
      </c>
      <c r="G5" s="18">
        <v>1.0</v>
      </c>
      <c r="H5" s="18">
        <v>5.0</v>
      </c>
      <c r="I5" s="18" t="s">
        <v>68</v>
      </c>
      <c r="J5" s="18" t="s">
        <v>24</v>
      </c>
      <c r="K5" s="18" t="s">
        <v>79</v>
      </c>
    </row>
    <row r="6" ht="54.0" customHeight="1">
      <c r="A6" s="18" t="s">
        <v>81</v>
      </c>
      <c r="B6" s="18" t="s">
        <v>51</v>
      </c>
      <c r="C6" s="18" t="s">
        <v>89</v>
      </c>
      <c r="D6" s="18" t="s">
        <v>92</v>
      </c>
      <c r="E6" s="18" t="s">
        <v>64</v>
      </c>
      <c r="F6" s="18" t="s">
        <v>90</v>
      </c>
      <c r="G6" s="18">
        <v>1.0</v>
      </c>
      <c r="H6" s="18">
        <v>3.0</v>
      </c>
      <c r="I6" s="18" t="s">
        <v>47</v>
      </c>
      <c r="J6" s="18" t="s">
        <v>24</v>
      </c>
      <c r="K6" s="18" t="s">
        <v>117</v>
      </c>
    </row>
    <row r="7" ht="54.0" customHeight="1">
      <c r="A7" s="18" t="s">
        <v>122</v>
      </c>
      <c r="B7" s="18" t="s">
        <v>124</v>
      </c>
      <c r="C7" s="18" t="s">
        <v>126</v>
      </c>
      <c r="D7" s="18" t="s">
        <v>130</v>
      </c>
      <c r="E7" s="18" t="s">
        <v>64</v>
      </c>
      <c r="F7" s="18" t="s">
        <v>90</v>
      </c>
      <c r="G7" s="18">
        <v>1.0</v>
      </c>
      <c r="H7" s="18">
        <v>3.0</v>
      </c>
      <c r="I7" s="18" t="s">
        <v>47</v>
      </c>
      <c r="J7" s="18" t="s">
        <v>24</v>
      </c>
      <c r="K7" s="18" t="s">
        <v>143</v>
      </c>
    </row>
    <row r="8" ht="54.0" customHeight="1">
      <c r="A8" s="18" t="s">
        <v>147</v>
      </c>
      <c r="B8" s="18" t="s">
        <v>150</v>
      </c>
      <c r="C8" s="18" t="s">
        <v>152</v>
      </c>
      <c r="D8" s="18" t="s">
        <v>154</v>
      </c>
      <c r="E8" s="18" t="s">
        <v>64</v>
      </c>
      <c r="F8" s="18" t="s">
        <v>90</v>
      </c>
      <c r="G8" s="18">
        <v>2.0</v>
      </c>
      <c r="H8" s="18">
        <v>5.0</v>
      </c>
      <c r="I8" s="18" t="s">
        <v>122</v>
      </c>
      <c r="J8" s="18" t="s">
        <v>24</v>
      </c>
      <c r="K8" s="18" t="s">
        <v>160</v>
      </c>
    </row>
    <row r="9" ht="54.0" customHeight="1">
      <c r="A9" s="18" t="s">
        <v>163</v>
      </c>
      <c r="B9" s="18" t="s">
        <v>150</v>
      </c>
      <c r="C9" s="18" t="s">
        <v>165</v>
      </c>
      <c r="D9" s="18" t="s">
        <v>166</v>
      </c>
      <c r="E9" s="18" t="s">
        <v>169</v>
      </c>
      <c r="F9" s="18" t="s">
        <v>90</v>
      </c>
      <c r="G9" s="18">
        <v>2.0</v>
      </c>
      <c r="H9" s="18">
        <v>3.0</v>
      </c>
      <c r="I9" s="18" t="s">
        <v>147</v>
      </c>
      <c r="J9" s="18" t="s">
        <v>24</v>
      </c>
      <c r="K9" s="18" t="s">
        <v>173</v>
      </c>
    </row>
    <row r="10" ht="54.0" customHeight="1">
      <c r="A10" s="18" t="s">
        <v>175</v>
      </c>
      <c r="B10" s="18" t="s">
        <v>176</v>
      </c>
      <c r="C10" s="18" t="s">
        <v>178</v>
      </c>
      <c r="D10" s="18" t="s">
        <v>180</v>
      </c>
      <c r="E10" s="18" t="s">
        <v>64</v>
      </c>
      <c r="F10" s="18" t="s">
        <v>90</v>
      </c>
      <c r="G10" s="18">
        <v>2.0</v>
      </c>
      <c r="H10" s="18">
        <v>8.0</v>
      </c>
      <c r="I10" s="18" t="s">
        <v>147</v>
      </c>
      <c r="J10" s="18" t="s">
        <v>24</v>
      </c>
      <c r="K10" s="18" t="s">
        <v>196</v>
      </c>
    </row>
    <row r="11" ht="54.0" customHeight="1">
      <c r="A11" s="18" t="s">
        <v>198</v>
      </c>
      <c r="B11" s="18" t="s">
        <v>176</v>
      </c>
      <c r="C11" s="18" t="s">
        <v>202</v>
      </c>
      <c r="D11" s="18" t="s">
        <v>204</v>
      </c>
      <c r="E11" s="18" t="s">
        <v>169</v>
      </c>
      <c r="F11" s="18" t="s">
        <v>90</v>
      </c>
      <c r="G11" s="18">
        <v>2.0</v>
      </c>
      <c r="H11" s="18">
        <v>3.0</v>
      </c>
      <c r="I11" s="18" t="s">
        <v>175</v>
      </c>
      <c r="J11" s="18" t="s">
        <v>24</v>
      </c>
      <c r="K11" s="18" t="s">
        <v>215</v>
      </c>
    </row>
    <row r="12" ht="54.0" customHeight="1">
      <c r="A12" s="18" t="s">
        <v>216</v>
      </c>
      <c r="B12" s="18" t="s">
        <v>217</v>
      </c>
      <c r="C12" s="18" t="s">
        <v>218</v>
      </c>
      <c r="D12" s="18" t="s">
        <v>220</v>
      </c>
      <c r="E12" s="18" t="s">
        <v>64</v>
      </c>
      <c r="F12" s="18" t="s">
        <v>90</v>
      </c>
      <c r="G12" s="18">
        <v>2.0</v>
      </c>
      <c r="H12" s="18">
        <v>3.0</v>
      </c>
      <c r="I12" s="18" t="s">
        <v>175</v>
      </c>
      <c r="J12" s="18" t="s">
        <v>24</v>
      </c>
      <c r="K12" s="18" t="s">
        <v>225</v>
      </c>
    </row>
    <row r="13" ht="54.0" customHeight="1">
      <c r="A13" s="18" t="s">
        <v>226</v>
      </c>
      <c r="B13" s="18" t="s">
        <v>227</v>
      </c>
      <c r="C13" s="18" t="s">
        <v>228</v>
      </c>
      <c r="D13" s="18" t="s">
        <v>230</v>
      </c>
      <c r="E13" s="18" t="s">
        <v>64</v>
      </c>
      <c r="F13" s="18" t="s">
        <v>90</v>
      </c>
      <c r="G13" s="18">
        <v>3.0</v>
      </c>
      <c r="H13" s="18">
        <v>5.0</v>
      </c>
      <c r="I13" s="18" t="s">
        <v>175</v>
      </c>
      <c r="J13" s="18" t="s">
        <v>24</v>
      </c>
      <c r="K13" s="18" t="s">
        <v>235</v>
      </c>
    </row>
    <row r="14" ht="54.0" customHeight="1">
      <c r="A14" s="18" t="s">
        <v>237</v>
      </c>
      <c r="B14" s="18" t="s">
        <v>227</v>
      </c>
      <c r="C14" s="18" t="s">
        <v>239</v>
      </c>
      <c r="D14" s="18" t="s">
        <v>240</v>
      </c>
      <c r="E14" s="18" t="s">
        <v>169</v>
      </c>
      <c r="F14" s="18" t="s">
        <v>90</v>
      </c>
      <c r="G14" s="18">
        <v>3.0</v>
      </c>
      <c r="H14" s="18">
        <v>3.0</v>
      </c>
      <c r="I14" s="18" t="s">
        <v>226</v>
      </c>
      <c r="J14" s="18" t="s">
        <v>24</v>
      </c>
      <c r="K14" s="18" t="s">
        <v>241</v>
      </c>
    </row>
    <row r="15" ht="54.0" customHeight="1">
      <c r="A15" s="18" t="s">
        <v>242</v>
      </c>
      <c r="B15" s="18" t="s">
        <v>243</v>
      </c>
      <c r="C15" s="18" t="s">
        <v>244</v>
      </c>
      <c r="D15" s="18" t="s">
        <v>245</v>
      </c>
      <c r="E15" s="18" t="s">
        <v>64</v>
      </c>
      <c r="F15" s="18" t="s">
        <v>90</v>
      </c>
      <c r="G15" s="18">
        <v>3.0</v>
      </c>
      <c r="H15" s="18">
        <v>5.0</v>
      </c>
      <c r="I15" s="18" t="s">
        <v>81</v>
      </c>
      <c r="J15" s="18" t="s">
        <v>24</v>
      </c>
      <c r="K15" s="18" t="s">
        <v>246</v>
      </c>
    </row>
    <row r="16" ht="54.0" customHeight="1">
      <c r="A16" s="18" t="s">
        <v>247</v>
      </c>
      <c r="B16" s="18" t="s">
        <v>248</v>
      </c>
      <c r="C16" s="18" t="s">
        <v>249</v>
      </c>
      <c r="D16" s="18" t="s">
        <v>250</v>
      </c>
      <c r="E16" s="18" t="s">
        <v>64</v>
      </c>
      <c r="F16" s="18" t="s">
        <v>90</v>
      </c>
      <c r="G16" s="18">
        <v>3.0</v>
      </c>
      <c r="H16" s="18">
        <v>5.0</v>
      </c>
      <c r="I16" s="18" t="s">
        <v>251</v>
      </c>
      <c r="J16" s="18" t="s">
        <v>24</v>
      </c>
      <c r="K16" s="18" t="s">
        <v>252</v>
      </c>
    </row>
    <row r="17" ht="54.0" customHeight="1">
      <c r="A17" s="18" t="s">
        <v>253</v>
      </c>
      <c r="B17" s="18" t="s">
        <v>254</v>
      </c>
      <c r="C17" s="18" t="s">
        <v>255</v>
      </c>
      <c r="D17" s="18" t="s">
        <v>256</v>
      </c>
      <c r="E17" s="18" t="s">
        <v>64</v>
      </c>
      <c r="F17" s="18" t="s">
        <v>90</v>
      </c>
      <c r="G17" s="18">
        <v>4.0</v>
      </c>
      <c r="H17" s="18">
        <v>3.0</v>
      </c>
      <c r="I17" s="18" t="s">
        <v>247</v>
      </c>
      <c r="J17" s="18" t="s">
        <v>24</v>
      </c>
      <c r="K17" s="18" t="s">
        <v>257</v>
      </c>
    </row>
    <row r="18" ht="54.0" customHeight="1">
      <c r="A18" s="18" t="s">
        <v>258</v>
      </c>
      <c r="B18" s="18" t="s">
        <v>259</v>
      </c>
      <c r="C18" s="18" t="s">
        <v>260</v>
      </c>
      <c r="D18" s="18" t="s">
        <v>261</v>
      </c>
      <c r="E18" s="18" t="s">
        <v>64</v>
      </c>
      <c r="F18" s="18" t="s">
        <v>90</v>
      </c>
      <c r="G18" s="18">
        <v>4.0</v>
      </c>
      <c r="H18" s="18">
        <v>5.0</v>
      </c>
      <c r="I18" s="18" t="s">
        <v>253</v>
      </c>
      <c r="J18" s="18" t="s">
        <v>24</v>
      </c>
      <c r="K18" s="18" t="s">
        <v>234</v>
      </c>
    </row>
    <row r="19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</row>
    <row r="20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</row>
    <row r="21" ht="15.75" customHeight="1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</row>
    <row r="22" ht="15.75" customHeight="1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</row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E5:E18">
    <cfRule type="containsText" dxfId="7" priority="1" operator="containsText" text="Must Have">
      <formula>NOT(ISERROR(SEARCH(("Must Have"),(E5))))</formula>
    </cfRule>
  </conditionalFormatting>
  <conditionalFormatting sqref="F5:F18">
    <cfRule type="containsText" dxfId="5" priority="2" operator="containsText" text="Done">
      <formula>NOT(ISERROR(SEARCH(("Done"),(F5))))</formula>
    </cfRule>
  </conditionalFormatting>
  <conditionalFormatting sqref="F5:F18">
    <cfRule type="containsText" dxfId="6" priority="3" operator="containsText" text="In Progress">
      <formula>NOT(ISERROR(SEARCH(("In Progress"),(F5))))</formula>
    </cfRule>
  </conditionalFormatting>
  <conditionalFormatting sqref="F5:F18">
    <cfRule type="containsText" dxfId="7" priority="4" operator="containsText" text="Blocked">
      <formula>NOT(ISERROR(SEARCH(("Blocked"),(F5))))</formula>
    </cfRule>
  </conditionalFormatting>
  <dataValidations>
    <dataValidation type="list" allowBlank="1" sqref="F5:F18">
      <formula1>"Not Started,In Progress,Done,Blocked"</formula1>
    </dataValidation>
    <dataValidation type="list" allowBlank="1" sqref="H5:H18">
      <formula1>"1,2,3,5,8,13"</formula1>
    </dataValidation>
    <dataValidation type="list" allowBlank="1" sqref="E5:E18">
      <formula1>"Must Have,Should Have,Could Have,Future"</formula1>
    </dataValidation>
    <dataValidation type="decimal" allowBlank="1" sqref="G5:G18">
      <formula1>1.0</formula1>
      <formula2>4.0</formula2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3E6B89"/>
    <pageSetUpPr/>
  </sheetPr>
  <sheetViews>
    <sheetView showGridLines="0" workbookViewId="0">
      <pane ySplit="4.0" topLeftCell="A5" activePane="bottomLeft" state="frozen"/>
      <selection activeCell="B6" sqref="B6" pane="bottomLeft"/>
    </sheetView>
  </sheetViews>
  <sheetFormatPr customHeight="1" defaultColWidth="12.63" defaultRowHeight="15.0"/>
  <cols>
    <col customWidth="1" min="1" max="1" width="10.0"/>
    <col customWidth="1" min="2" max="2" width="30.0"/>
    <col customWidth="1" min="3" max="3" width="25.0"/>
    <col customWidth="1" min="4" max="5" width="12.0"/>
    <col customWidth="1" min="6" max="7" width="16.0"/>
    <col customWidth="1" min="8" max="8" width="28.0"/>
    <col customWidth="1" min="9" max="9" width="36.0"/>
    <col customWidth="1" min="10" max="26" width="8.63"/>
  </cols>
  <sheetData>
    <row r="1">
      <c r="A1" s="1"/>
      <c r="B1" s="1"/>
      <c r="C1" s="1"/>
      <c r="D1" s="1"/>
      <c r="E1" s="1"/>
      <c r="F1" s="1"/>
      <c r="G1" s="1"/>
      <c r="H1" s="1"/>
      <c r="I1" s="1"/>
    </row>
    <row r="2" ht="25.5" customHeight="1">
      <c r="A2" s="2" t="s">
        <v>9</v>
      </c>
      <c r="B2" s="2"/>
      <c r="C2" s="2"/>
      <c r="D2" s="2"/>
      <c r="E2" s="2"/>
      <c r="F2" s="2"/>
      <c r="G2" s="2"/>
      <c r="H2" s="2"/>
      <c r="I2" s="2"/>
    </row>
    <row r="3" ht="7.5" customHeight="1">
      <c r="A3" s="3"/>
      <c r="B3" s="3"/>
      <c r="C3" s="3"/>
      <c r="D3" s="3"/>
      <c r="E3" s="3"/>
      <c r="F3" s="3"/>
      <c r="G3" s="3"/>
      <c r="H3" s="3"/>
      <c r="I3" s="3"/>
    </row>
    <row r="4" ht="31.5" customHeight="1">
      <c r="A4" s="12" t="s">
        <v>11</v>
      </c>
      <c r="B4" s="12" t="s">
        <v>16</v>
      </c>
      <c r="C4" s="12" t="s">
        <v>18</v>
      </c>
      <c r="D4" s="12" t="s">
        <v>19</v>
      </c>
      <c r="E4" s="12" t="s">
        <v>23</v>
      </c>
      <c r="F4" s="12" t="s">
        <v>28</v>
      </c>
      <c r="G4" s="12" t="s">
        <v>33</v>
      </c>
      <c r="H4" s="12" t="s">
        <v>37</v>
      </c>
      <c r="I4" s="12" t="s">
        <v>41</v>
      </c>
    </row>
    <row r="5" ht="49.5" customHeight="1">
      <c r="A5" s="18" t="s">
        <v>45</v>
      </c>
      <c r="B5" s="18" t="s">
        <v>49</v>
      </c>
      <c r="C5" s="18" t="s">
        <v>54</v>
      </c>
      <c r="D5" s="19">
        <v>46280.5</v>
      </c>
      <c r="E5" s="19">
        <v>46281.5</v>
      </c>
      <c r="F5" s="20" t="s">
        <v>66</v>
      </c>
      <c r="G5" s="18" t="s">
        <v>68</v>
      </c>
      <c r="H5" s="18" t="s">
        <v>69</v>
      </c>
      <c r="I5" s="18" t="s">
        <v>71</v>
      </c>
    </row>
    <row r="6" ht="49.5" customHeight="1">
      <c r="A6" s="18" t="s">
        <v>73</v>
      </c>
      <c r="B6" s="18" t="s">
        <v>75</v>
      </c>
      <c r="C6" s="18" t="s">
        <v>78</v>
      </c>
      <c r="D6" s="19">
        <v>46281.5</v>
      </c>
      <c r="E6" s="19">
        <v>46283.5</v>
      </c>
      <c r="F6" s="18" t="s">
        <v>90</v>
      </c>
      <c r="G6" s="18" t="s">
        <v>45</v>
      </c>
      <c r="H6" s="18" t="s">
        <v>100</v>
      </c>
      <c r="I6" s="18" t="s">
        <v>104</v>
      </c>
    </row>
    <row r="7" ht="49.5" customHeight="1">
      <c r="A7" s="18" t="s">
        <v>108</v>
      </c>
      <c r="B7" s="18" t="s">
        <v>109</v>
      </c>
      <c r="C7" s="18" t="s">
        <v>113</v>
      </c>
      <c r="D7" s="19">
        <v>46283.5</v>
      </c>
      <c r="E7" s="19">
        <v>46285.5</v>
      </c>
      <c r="F7" s="18" t="s">
        <v>90</v>
      </c>
      <c r="G7" s="18" t="s">
        <v>45</v>
      </c>
      <c r="H7" s="18" t="s">
        <v>125</v>
      </c>
      <c r="I7" s="18" t="s">
        <v>127</v>
      </c>
    </row>
    <row r="8" ht="49.5" customHeight="1">
      <c r="A8" s="18" t="s">
        <v>131</v>
      </c>
      <c r="B8" s="18" t="s">
        <v>134</v>
      </c>
      <c r="C8" s="18" t="s">
        <v>136</v>
      </c>
      <c r="D8" s="19">
        <v>46286.5</v>
      </c>
      <c r="E8" s="19">
        <v>46290.5</v>
      </c>
      <c r="F8" s="18" t="s">
        <v>90</v>
      </c>
      <c r="G8" s="18" t="s">
        <v>144</v>
      </c>
      <c r="H8" s="18" t="s">
        <v>146</v>
      </c>
      <c r="I8" s="18" t="s">
        <v>149</v>
      </c>
    </row>
    <row r="9" ht="49.5" customHeight="1">
      <c r="A9" s="18" t="s">
        <v>153</v>
      </c>
      <c r="B9" s="18" t="s">
        <v>155</v>
      </c>
      <c r="C9" s="18" t="s">
        <v>157</v>
      </c>
      <c r="D9" s="19">
        <v>46290.5</v>
      </c>
      <c r="E9" s="19">
        <v>46293.5</v>
      </c>
      <c r="F9" s="18" t="s">
        <v>90</v>
      </c>
      <c r="G9" s="18" t="s">
        <v>131</v>
      </c>
      <c r="H9" s="18" t="s">
        <v>146</v>
      </c>
      <c r="I9" s="18" t="s">
        <v>164</v>
      </c>
    </row>
    <row r="10" ht="49.5" customHeight="1">
      <c r="A10" s="18" t="s">
        <v>168</v>
      </c>
      <c r="B10" s="18" t="s">
        <v>171</v>
      </c>
      <c r="C10" s="18" t="s">
        <v>172</v>
      </c>
      <c r="D10" s="19">
        <v>46293.5</v>
      </c>
      <c r="E10" s="19">
        <v>46295.5</v>
      </c>
      <c r="F10" s="18" t="s">
        <v>90</v>
      </c>
      <c r="G10" s="18" t="s">
        <v>153</v>
      </c>
      <c r="H10" s="18" t="s">
        <v>177</v>
      </c>
      <c r="I10" s="18" t="s">
        <v>179</v>
      </c>
    </row>
    <row r="11" ht="49.5" customHeight="1">
      <c r="A11" s="18" t="s">
        <v>183</v>
      </c>
      <c r="B11" s="18" t="s">
        <v>189</v>
      </c>
      <c r="C11" s="18" t="s">
        <v>191</v>
      </c>
      <c r="D11" s="19">
        <v>46296.5</v>
      </c>
      <c r="E11" s="19">
        <v>46299.5</v>
      </c>
      <c r="F11" s="18" t="s">
        <v>90</v>
      </c>
      <c r="G11" s="18" t="s">
        <v>168</v>
      </c>
      <c r="H11" s="18" t="s">
        <v>200</v>
      </c>
      <c r="I11" s="18" t="s">
        <v>201</v>
      </c>
    </row>
    <row r="12" ht="49.5" customHeight="1">
      <c r="A12" s="18" t="s">
        <v>206</v>
      </c>
      <c r="B12" s="18" t="s">
        <v>210</v>
      </c>
      <c r="C12" s="18" t="s">
        <v>213</v>
      </c>
      <c r="D12" s="19">
        <v>46300.5</v>
      </c>
      <c r="E12" s="19">
        <v>46303.5</v>
      </c>
      <c r="F12" s="18" t="s">
        <v>90</v>
      </c>
      <c r="G12" s="18" t="s">
        <v>183</v>
      </c>
      <c r="H12" s="18" t="s">
        <v>219</v>
      </c>
      <c r="I12" s="18" t="s">
        <v>221</v>
      </c>
    </row>
    <row r="13" ht="49.5" customHeight="1">
      <c r="A13" s="18" t="s">
        <v>222</v>
      </c>
      <c r="B13" s="18" t="s">
        <v>223</v>
      </c>
      <c r="C13" s="18" t="s">
        <v>224</v>
      </c>
      <c r="D13" s="19">
        <v>46304.5</v>
      </c>
      <c r="E13" s="19">
        <v>46305.5</v>
      </c>
      <c r="F13" s="18" t="s">
        <v>90</v>
      </c>
      <c r="G13" s="18" t="s">
        <v>206</v>
      </c>
      <c r="H13" s="18" t="s">
        <v>229</v>
      </c>
      <c r="I13" s="18" t="s">
        <v>231</v>
      </c>
    </row>
    <row r="14" ht="49.5" customHeight="1">
      <c r="A14" s="18" t="s">
        <v>232</v>
      </c>
      <c r="B14" s="18" t="s">
        <v>233</v>
      </c>
      <c r="C14" s="18" t="s">
        <v>234</v>
      </c>
      <c r="D14" s="19">
        <v>46305.5</v>
      </c>
      <c r="E14" s="19">
        <v>46307.5</v>
      </c>
      <c r="F14" s="18" t="s">
        <v>90</v>
      </c>
      <c r="G14" s="18" t="s">
        <v>222</v>
      </c>
      <c r="H14" s="18" t="s">
        <v>236</v>
      </c>
      <c r="I14" s="18" t="s">
        <v>238</v>
      </c>
    </row>
    <row r="15">
      <c r="A15" s="1"/>
      <c r="B15" s="1"/>
      <c r="C15" s="1"/>
      <c r="D15" s="1"/>
      <c r="E15" s="1"/>
      <c r="F15" s="1"/>
      <c r="G15" s="1"/>
      <c r="H15" s="1"/>
      <c r="I15" s="1"/>
    </row>
    <row r="16">
      <c r="A16" s="1"/>
      <c r="B16" s="1"/>
      <c r="C16" s="1"/>
      <c r="D16" s="1"/>
      <c r="E16" s="1"/>
      <c r="F16" s="1"/>
      <c r="G16" s="1"/>
      <c r="H16" s="1"/>
      <c r="I16" s="1"/>
    </row>
    <row r="17">
      <c r="A17" s="1"/>
      <c r="B17" s="1"/>
      <c r="C17" s="1"/>
      <c r="D17" s="1"/>
      <c r="E17" s="1"/>
      <c r="F17" s="1"/>
      <c r="G17" s="1"/>
      <c r="H17" s="1"/>
      <c r="I17" s="1"/>
    </row>
    <row r="18">
      <c r="A18" s="1"/>
      <c r="B18" s="1"/>
      <c r="C18" s="1"/>
      <c r="D18" s="1"/>
      <c r="E18" s="1"/>
      <c r="F18" s="1"/>
      <c r="G18" s="1"/>
      <c r="H18" s="1"/>
      <c r="I18" s="1"/>
    </row>
    <row r="19">
      <c r="A19" s="1"/>
      <c r="B19" s="1"/>
      <c r="C19" s="1"/>
      <c r="D19" s="1"/>
      <c r="E19" s="1"/>
      <c r="F19" s="1"/>
      <c r="G19" s="1"/>
      <c r="H19" s="1"/>
      <c r="I19" s="1"/>
    </row>
    <row r="20">
      <c r="A20" s="1"/>
      <c r="B20" s="1"/>
      <c r="C20" s="1"/>
      <c r="D20" s="1"/>
      <c r="E20" s="1"/>
      <c r="F20" s="1"/>
      <c r="G20" s="1"/>
      <c r="H20" s="1"/>
      <c r="I20" s="1"/>
    </row>
    <row r="21" ht="15.75" customHeight="1">
      <c r="A21" s="1"/>
      <c r="B21" s="1"/>
      <c r="C21" s="1"/>
      <c r="D21" s="1"/>
      <c r="E21" s="1"/>
      <c r="F21" s="1"/>
      <c r="G21" s="1"/>
      <c r="H21" s="1"/>
      <c r="I21" s="1"/>
    </row>
    <row r="22" ht="15.75" customHeight="1">
      <c r="A22" s="1"/>
      <c r="B22" s="1"/>
      <c r="C22" s="1"/>
      <c r="D22" s="1"/>
      <c r="E22" s="1"/>
      <c r="F22" s="1"/>
      <c r="G22" s="1"/>
      <c r="H22" s="1"/>
      <c r="I22" s="1"/>
    </row>
    <row r="23" ht="15.75" customHeight="1">
      <c r="A23" s="1"/>
      <c r="B23" s="1"/>
      <c r="C23" s="1"/>
      <c r="D23" s="1"/>
      <c r="E23" s="1"/>
      <c r="F23" s="1"/>
      <c r="G23" s="1"/>
      <c r="H23" s="1"/>
      <c r="I23" s="1"/>
    </row>
    <row r="24" ht="15.75" customHeight="1">
      <c r="A24" s="1"/>
      <c r="B24" s="1"/>
      <c r="C24" s="1"/>
      <c r="D24" s="1"/>
      <c r="E24" s="1"/>
      <c r="F24" s="1"/>
      <c r="G24" s="1"/>
      <c r="H24" s="1"/>
      <c r="I24" s="1"/>
    </row>
    <row r="25" ht="15.75" customHeight="1">
      <c r="A25" s="1"/>
      <c r="B25" s="1"/>
      <c r="C25" s="1"/>
      <c r="D25" s="1"/>
      <c r="E25" s="1"/>
      <c r="F25" s="1"/>
      <c r="G25" s="1"/>
      <c r="H25" s="1"/>
      <c r="I25" s="1"/>
    </row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F5:F14">
    <cfRule type="containsText" dxfId="5" priority="1" operator="containsText" text="Done">
      <formula>NOT(ISERROR(SEARCH(("Done"),(F5))))</formula>
    </cfRule>
  </conditionalFormatting>
  <conditionalFormatting sqref="F5:F14">
    <cfRule type="containsText" dxfId="6" priority="2" operator="containsText" text="In Progress">
      <formula>NOT(ISERROR(SEARCH(("In Progress"),(F5))))</formula>
    </cfRule>
  </conditionalFormatting>
  <conditionalFormatting sqref="F5:F14">
    <cfRule type="containsText" dxfId="7" priority="3" operator="containsText" text="Blocked">
      <formula>NOT(ISERROR(SEARCH(("Blocked"),(F5))))</formula>
    </cfRule>
  </conditionalFormatting>
  <dataValidations>
    <dataValidation type="list" allowBlank="1" sqref="F5:F14">
      <formula1>"Not Started,In Progress,Done,Blocked"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718096"/>
    <pageSetUpPr/>
  </sheetPr>
  <sheetViews>
    <sheetView showGridLines="0" workbookViewId="0">
      <pane ySplit="5.0" topLeftCell="A6" activePane="bottomLeft" state="frozen"/>
      <selection activeCell="B7" sqref="B7" pane="bottomLeft"/>
    </sheetView>
  </sheetViews>
  <sheetFormatPr customHeight="1" defaultColWidth="12.63" defaultRowHeight="15.0"/>
  <cols>
    <col customWidth="1" min="1" max="1" width="10.0"/>
    <col customWidth="1" min="2" max="2" width="12.0"/>
    <col customWidth="1" min="3" max="3" width="34.0"/>
    <col customWidth="1" min="4" max="4" width="32.0"/>
    <col customWidth="1" min="5" max="5" width="34.0"/>
    <col customWidth="1" min="6" max="6" width="22.0"/>
    <col customWidth="1" min="7" max="7" width="20.0"/>
    <col customWidth="1" min="8" max="8" width="16.0"/>
    <col customWidth="1" min="9" max="9" width="13.0"/>
    <col customWidth="1" min="10" max="10" width="14.0"/>
    <col customWidth="1" min="11" max="26" width="8.63"/>
  </cols>
  <sheetData>
    <row r="1">
      <c r="A1" s="1"/>
      <c r="B1" s="1"/>
      <c r="C1" s="1"/>
      <c r="D1" s="1"/>
      <c r="E1" s="1"/>
      <c r="F1" s="1"/>
      <c r="G1" s="1"/>
      <c r="H1" s="1"/>
      <c r="I1" s="1"/>
      <c r="J1" s="1"/>
    </row>
    <row r="2" ht="25.5" customHeight="1">
      <c r="A2" s="2" t="s">
        <v>8</v>
      </c>
      <c r="B2" s="2"/>
      <c r="C2" s="2"/>
      <c r="D2" s="2"/>
      <c r="E2" s="2"/>
      <c r="F2" s="2"/>
      <c r="G2" s="2"/>
      <c r="H2" s="2"/>
      <c r="I2" s="2"/>
      <c r="J2" s="2"/>
    </row>
    <row r="3" ht="7.5" customHeight="1">
      <c r="A3" s="3"/>
      <c r="B3" s="3"/>
      <c r="C3" s="3"/>
      <c r="D3" s="3"/>
      <c r="E3" s="3"/>
      <c r="F3" s="3"/>
      <c r="G3" s="3"/>
      <c r="H3" s="3"/>
      <c r="I3" s="3"/>
      <c r="J3" s="3"/>
    </row>
    <row r="4">
      <c r="A4" s="9" t="s">
        <v>10</v>
      </c>
      <c r="B4" s="11"/>
      <c r="C4" s="11"/>
      <c r="D4" s="11"/>
      <c r="E4" s="11"/>
      <c r="F4" s="11"/>
      <c r="G4" s="11"/>
      <c r="H4" s="11"/>
      <c r="I4" s="11"/>
      <c r="J4" s="14"/>
    </row>
    <row r="5" ht="31.5" customHeight="1">
      <c r="A5" s="12" t="s">
        <v>17</v>
      </c>
      <c r="B5" s="12" t="s">
        <v>21</v>
      </c>
      <c r="C5" s="12" t="s">
        <v>27</v>
      </c>
      <c r="D5" s="12" t="s">
        <v>30</v>
      </c>
      <c r="E5" s="12" t="s">
        <v>32</v>
      </c>
      <c r="F5" s="12" t="s">
        <v>34</v>
      </c>
      <c r="G5" s="12" t="s">
        <v>38</v>
      </c>
      <c r="H5" s="12" t="s">
        <v>28</v>
      </c>
      <c r="I5" s="12" t="s">
        <v>42</v>
      </c>
      <c r="J5" s="12" t="s">
        <v>43</v>
      </c>
    </row>
    <row r="6" ht="57.75" customHeight="1">
      <c r="A6" s="18" t="s">
        <v>46</v>
      </c>
      <c r="B6" s="18" t="s">
        <v>48</v>
      </c>
      <c r="C6" s="18" t="s">
        <v>53</v>
      </c>
      <c r="D6" s="18" t="s">
        <v>56</v>
      </c>
      <c r="E6" s="18" t="s">
        <v>58</v>
      </c>
      <c r="F6" s="18" t="s">
        <v>61</v>
      </c>
      <c r="G6" s="18" t="s">
        <v>63</v>
      </c>
      <c r="H6" s="18" t="s">
        <v>65</v>
      </c>
      <c r="I6" s="18" t="s">
        <v>24</v>
      </c>
      <c r="J6" s="21">
        <v>46285.5</v>
      </c>
    </row>
    <row r="7" ht="57.75" customHeight="1">
      <c r="A7" s="18" t="s">
        <v>70</v>
      </c>
      <c r="B7" s="18" t="s">
        <v>48</v>
      </c>
      <c r="C7" s="18" t="s">
        <v>72</v>
      </c>
      <c r="D7" s="18" t="s">
        <v>56</v>
      </c>
      <c r="E7" s="18" t="s">
        <v>58</v>
      </c>
      <c r="F7" s="18" t="s">
        <v>76</v>
      </c>
      <c r="G7" s="18" t="s">
        <v>77</v>
      </c>
      <c r="H7" s="18" t="s">
        <v>65</v>
      </c>
      <c r="I7" s="18" t="s">
        <v>24</v>
      </c>
      <c r="J7" s="21">
        <v>46285.5</v>
      </c>
    </row>
    <row r="8" ht="57.75" customHeight="1">
      <c r="A8" s="18" t="s">
        <v>88</v>
      </c>
      <c r="B8" s="18" t="s">
        <v>48</v>
      </c>
      <c r="C8" s="18" t="s">
        <v>93</v>
      </c>
      <c r="D8" s="18" t="s">
        <v>56</v>
      </c>
      <c r="E8" s="18" t="s">
        <v>56</v>
      </c>
      <c r="F8" s="18" t="s">
        <v>103</v>
      </c>
      <c r="G8" s="18" t="s">
        <v>105</v>
      </c>
      <c r="H8" s="18" t="s">
        <v>65</v>
      </c>
      <c r="I8" s="18" t="s">
        <v>24</v>
      </c>
      <c r="J8" s="21">
        <v>46287.5</v>
      </c>
    </row>
    <row r="9" ht="57.75" customHeight="1">
      <c r="A9" s="18" t="s">
        <v>112</v>
      </c>
      <c r="B9" s="18" t="s">
        <v>48</v>
      </c>
      <c r="C9" s="18" t="s">
        <v>115</v>
      </c>
      <c r="D9" s="18" t="s">
        <v>58</v>
      </c>
      <c r="E9" s="18" t="s">
        <v>58</v>
      </c>
      <c r="F9" s="18" t="s">
        <v>118</v>
      </c>
      <c r="G9" s="18" t="s">
        <v>121</v>
      </c>
      <c r="H9" s="18" t="s">
        <v>65</v>
      </c>
      <c r="I9" s="18" t="s">
        <v>24</v>
      </c>
      <c r="J9" s="21">
        <v>46291.5</v>
      </c>
    </row>
    <row r="10" ht="57.75" customHeight="1">
      <c r="A10" s="18" t="s">
        <v>129</v>
      </c>
      <c r="B10" s="18" t="s">
        <v>48</v>
      </c>
      <c r="C10" s="18" t="s">
        <v>132</v>
      </c>
      <c r="D10" s="18" t="s">
        <v>56</v>
      </c>
      <c r="E10" s="18" t="s">
        <v>58</v>
      </c>
      <c r="F10" s="18" t="s">
        <v>138</v>
      </c>
      <c r="G10" s="18" t="s">
        <v>140</v>
      </c>
      <c r="H10" s="18" t="s">
        <v>65</v>
      </c>
      <c r="I10" s="18" t="s">
        <v>24</v>
      </c>
      <c r="J10" s="21">
        <v>46291.5</v>
      </c>
    </row>
    <row r="11" ht="57.75" customHeight="1">
      <c r="A11" s="18" t="s">
        <v>145</v>
      </c>
      <c r="B11" s="18" t="s">
        <v>148</v>
      </c>
      <c r="C11" s="18" t="s">
        <v>151</v>
      </c>
      <c r="D11" s="18" t="s">
        <v>58</v>
      </c>
      <c r="E11" s="18" t="s">
        <v>56</v>
      </c>
      <c r="F11" s="18" t="s">
        <v>156</v>
      </c>
      <c r="G11" s="18" t="s">
        <v>158</v>
      </c>
      <c r="H11" s="18" t="s">
        <v>65</v>
      </c>
      <c r="I11" s="18" t="s">
        <v>24</v>
      </c>
      <c r="J11" s="21">
        <v>46283.5</v>
      </c>
    </row>
    <row r="12" ht="57.75" customHeight="1">
      <c r="A12" s="18" t="s">
        <v>159</v>
      </c>
      <c r="B12" s="18" t="s">
        <v>161</v>
      </c>
      <c r="C12" s="18" t="s">
        <v>162</v>
      </c>
      <c r="D12" s="18" t="s">
        <v>58</v>
      </c>
      <c r="E12" s="18" t="s">
        <v>58</v>
      </c>
      <c r="F12" s="18" t="s">
        <v>167</v>
      </c>
      <c r="G12" s="18" t="s">
        <v>170</v>
      </c>
      <c r="H12" s="18" t="s">
        <v>65</v>
      </c>
      <c r="I12" s="18" t="s">
        <v>24</v>
      </c>
      <c r="J12" s="21">
        <v>46287.5</v>
      </c>
    </row>
    <row r="13">
      <c r="A13" s="1"/>
      <c r="B13" s="1"/>
      <c r="C13" s="1"/>
      <c r="D13" s="1"/>
      <c r="E13" s="1"/>
      <c r="F13" s="1"/>
      <c r="G13" s="1"/>
      <c r="H13" s="1"/>
      <c r="I13" s="1"/>
      <c r="J13" s="1"/>
    </row>
    <row r="14">
      <c r="A14" s="1"/>
      <c r="B14" s="1"/>
      <c r="C14" s="1"/>
      <c r="D14" s="1"/>
      <c r="E14" s="1"/>
      <c r="F14" s="1"/>
      <c r="G14" s="1"/>
      <c r="H14" s="1"/>
      <c r="I14" s="1"/>
      <c r="J14" s="1"/>
    </row>
    <row r="15">
      <c r="A15" s="9" t="s">
        <v>174</v>
      </c>
      <c r="B15" s="11"/>
      <c r="C15" s="11"/>
      <c r="D15" s="11"/>
      <c r="E15" s="11"/>
      <c r="F15" s="11"/>
      <c r="G15" s="11"/>
      <c r="H15" s="11"/>
      <c r="I15" s="11"/>
      <c r="J15" s="14"/>
    </row>
    <row r="16" ht="31.5" customHeight="1">
      <c r="A16" s="27" t="s">
        <v>181</v>
      </c>
      <c r="B16" s="27" t="s">
        <v>182</v>
      </c>
      <c r="C16" s="27" t="s">
        <v>184</v>
      </c>
      <c r="D16" s="27" t="s">
        <v>185</v>
      </c>
      <c r="E16" s="27" t="s">
        <v>186</v>
      </c>
      <c r="F16" s="27" t="s">
        <v>187</v>
      </c>
      <c r="G16" s="27" t="s">
        <v>188</v>
      </c>
      <c r="H16" s="27" t="s">
        <v>44</v>
      </c>
      <c r="I16" s="1"/>
      <c r="J16" s="1"/>
    </row>
    <row r="17" ht="54.75" customHeight="1">
      <c r="A17" s="28" t="s">
        <v>190</v>
      </c>
      <c r="B17" s="16">
        <v>46279.5</v>
      </c>
      <c r="C17" s="8" t="s">
        <v>192</v>
      </c>
      <c r="D17" s="8" t="s">
        <v>193</v>
      </c>
      <c r="E17" s="8" t="s">
        <v>194</v>
      </c>
      <c r="F17" s="8" t="s">
        <v>195</v>
      </c>
      <c r="G17" s="8" t="s">
        <v>197</v>
      </c>
      <c r="H17" s="29" t="s">
        <v>199</v>
      </c>
      <c r="I17" s="1"/>
      <c r="J17" s="1"/>
    </row>
    <row r="18" ht="54.75" customHeight="1">
      <c r="A18" s="28" t="s">
        <v>203</v>
      </c>
      <c r="B18" s="16">
        <v>46280.5</v>
      </c>
      <c r="C18" s="8" t="s">
        <v>205</v>
      </c>
      <c r="D18" s="8" t="s">
        <v>207</v>
      </c>
      <c r="E18" s="8" t="s">
        <v>208</v>
      </c>
      <c r="F18" s="8" t="s">
        <v>209</v>
      </c>
      <c r="G18" s="8" t="s">
        <v>197</v>
      </c>
      <c r="H18" s="29" t="s">
        <v>211</v>
      </c>
      <c r="I18" s="1"/>
      <c r="J18" s="1"/>
    </row>
    <row r="19" ht="54.75" customHeight="1">
      <c r="A19" s="28" t="s">
        <v>212</v>
      </c>
      <c r="B19" s="16"/>
      <c r="C19" s="8"/>
      <c r="D19" s="8"/>
      <c r="E19" s="8"/>
      <c r="F19" s="8"/>
      <c r="G19" s="8" t="s">
        <v>214</v>
      </c>
      <c r="H19" s="29"/>
      <c r="I19" s="1"/>
      <c r="J19" s="1"/>
    </row>
    <row r="20">
      <c r="A20" s="1"/>
      <c r="B20" s="1"/>
      <c r="C20" s="1"/>
      <c r="D20" s="1"/>
      <c r="E20" s="1"/>
      <c r="F20" s="1"/>
      <c r="G20" s="1"/>
      <c r="H20" s="1"/>
      <c r="I20" s="1"/>
      <c r="J20" s="1"/>
    </row>
    <row r="21" ht="15.75" customHeight="1">
      <c r="A21" s="1"/>
      <c r="B21" s="1"/>
      <c r="C21" s="1"/>
      <c r="D21" s="1"/>
      <c r="E21" s="1"/>
      <c r="F21" s="1"/>
      <c r="G21" s="1"/>
      <c r="H21" s="1"/>
      <c r="I21" s="1"/>
      <c r="J21" s="1"/>
    </row>
    <row r="22" ht="15.75" customHeight="1">
      <c r="A22" s="1"/>
      <c r="B22" s="1"/>
      <c r="C22" s="1"/>
      <c r="D22" s="1"/>
      <c r="E22" s="1"/>
      <c r="F22" s="1"/>
      <c r="G22" s="1"/>
      <c r="H22" s="1"/>
      <c r="I22" s="1"/>
      <c r="J22" s="1"/>
    </row>
    <row r="23" ht="15.75" customHeight="1">
      <c r="A23" s="1"/>
      <c r="B23" s="1"/>
      <c r="C23" s="1"/>
      <c r="D23" s="1"/>
      <c r="E23" s="1"/>
      <c r="F23" s="1"/>
      <c r="G23" s="1"/>
      <c r="H23" s="1"/>
      <c r="I23" s="1"/>
      <c r="J23" s="1"/>
    </row>
    <row r="24" ht="15.75" customHeight="1">
      <c r="A24" s="1"/>
      <c r="B24" s="1"/>
      <c r="C24" s="1"/>
      <c r="D24" s="1"/>
      <c r="E24" s="1"/>
      <c r="F24" s="1"/>
      <c r="G24" s="1"/>
      <c r="H24" s="1"/>
      <c r="I24" s="1"/>
      <c r="J24" s="1"/>
    </row>
    <row r="25" ht="15.75" customHeight="1">
      <c r="A25" s="1"/>
      <c r="B25" s="1"/>
      <c r="C25" s="1"/>
      <c r="D25" s="1"/>
      <c r="E25" s="1"/>
      <c r="F25" s="1"/>
      <c r="G25" s="1"/>
      <c r="H25" s="1"/>
      <c r="I25" s="1"/>
      <c r="J25" s="1"/>
    </row>
    <row r="26" ht="15.75" customHeight="1">
      <c r="A26" s="1"/>
      <c r="B26" s="1"/>
      <c r="C26" s="1"/>
      <c r="D26" s="1"/>
      <c r="E26" s="1"/>
      <c r="F26" s="1"/>
      <c r="G26" s="1"/>
      <c r="H26" s="1"/>
      <c r="I26" s="1"/>
      <c r="J26" s="1"/>
    </row>
    <row r="27" ht="15.75" customHeight="1">
      <c r="A27" s="1"/>
      <c r="B27" s="1"/>
      <c r="C27" s="1"/>
      <c r="D27" s="1"/>
      <c r="E27" s="1"/>
      <c r="F27" s="1"/>
      <c r="G27" s="1"/>
      <c r="H27" s="1"/>
      <c r="I27" s="1"/>
      <c r="J27" s="1"/>
    </row>
    <row r="28" ht="15.75" customHeight="1">
      <c r="A28" s="1"/>
      <c r="B28" s="1"/>
      <c r="C28" s="1"/>
      <c r="D28" s="1"/>
      <c r="E28" s="1"/>
      <c r="F28" s="1"/>
      <c r="G28" s="1"/>
      <c r="H28" s="1"/>
      <c r="I28" s="1"/>
      <c r="J28" s="1"/>
    </row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4:J4"/>
    <mergeCell ref="A15:J15"/>
  </mergeCells>
  <conditionalFormatting sqref="D6:D12">
    <cfRule type="containsText" dxfId="7" priority="1" operator="containsText" text="High">
      <formula>NOT(ISERROR(SEARCH(("High"),(D6))))</formula>
    </cfRule>
  </conditionalFormatting>
  <conditionalFormatting sqref="E6:E12">
    <cfRule type="containsText" dxfId="7" priority="2" operator="containsText" text="High">
      <formula>NOT(ISERROR(SEARCH(("High"),(E6))))</formula>
    </cfRule>
  </conditionalFormatting>
  <dataValidations>
    <dataValidation type="list" allowBlank="1" sqref="H6:H12">
      <formula1>"Open,Monitoring,Closed"</formula1>
    </dataValidation>
    <dataValidation type="list" allowBlank="1" sqref="G17:G19">
      <formula1>"Pending,Approved,Rejected,Deferred"</formula1>
    </dataValidation>
    <dataValidation type="list" allowBlank="1" sqref="D6:E12">
      <formula1>"Low,Medium,High"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